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ypothèses" sheetId="1" r:id="rId1"/>
    <sheet name="Données" sheetId="2" r:id="rId2"/>
    <sheet name="Indicateurs" sheetId="3" r:id="rId3"/>
    <sheet name="Méthodologie" sheetId="4" r:id="rId4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5"/>
  <cols>
    <col min="1" max="1" width="34"/>
    <col min="2" max="2" width="12"/>
    <col min="3" max="3" width="12"/>
    <col min="4" max="4" width="48"/>
  </cols>
  <sheetData>
    <row r="1">
      <c r="A1" s="1" t="inlineStr">
        <is>
          <t xml:space="preserve">Paramètre</t>
        </is>
      </c>
      <c r="B1" s="1" t="inlineStr">
        <is>
          <t xml:space="preserve">Valeur</t>
        </is>
      </c>
      <c r="C1" s="1" t="inlineStr">
        <is>
          <t xml:space="preserve">Unité</t>
        </is>
      </c>
      <c r="D1" s="1" t="inlineStr">
        <is>
          <t xml:space="preserve">Source / Note</t>
        </is>
      </c>
    </row>
    <row r="2">
      <c r="A2" t="inlineStr">
        <is>
          <t xml:space="preserve">Prix de l'eau d'irrigation</t>
        </is>
      </c>
      <c r="B2">
        <v>0.5</v>
      </c>
      <c r="C2" t="inlineStr">
        <is>
          <t xml:space="preserve">€/m³</t>
        </is>
      </c>
      <c r="D2" t="inlineStr">
        <is>
          <t xml:space="preserve">À ajuster (tarif local Réunion)</t>
        </is>
      </c>
    </row>
    <row r="3">
      <c r="A3" t="inlineStr">
        <is>
          <t xml:space="preserve">Prix moyen des engrais (NPK)</t>
        </is>
      </c>
      <c r="B3">
        <v>1.2</v>
      </c>
      <c r="C3" t="inlineStr">
        <is>
          <t xml:space="preserve">€/kg</t>
        </is>
      </c>
      <c r="D3" t="inlineStr">
        <is>
          <t xml:space="preserve">À ajuster</t>
        </is>
      </c>
    </row>
    <row r="4">
      <c r="A4" t="inlineStr">
        <is>
          <t xml:space="preserve">Multiplicateur valeur ajoutée → PIB</t>
        </is>
      </c>
      <c r="B4">
        <v>1.0</v>
      </c>
      <c r="C4" t="inlineStr">
        <is>
          <t xml:space="preserve">ratio</t>
        </is>
      </c>
      <c r="D4" t="inlineStr">
        <is>
          <t xml:space="preserve">1 = on compte la valeur ajoutée brute, sans effet multiplicateur</t>
        </is>
      </c>
    </row>
    <row r="5">
      <c r="A5" t="inlineStr">
        <is>
          <t xml:space="preserve">Facteur CO₂ des engrais azotés</t>
        </is>
      </c>
      <c r="B5">
        <v>5.5</v>
      </c>
      <c r="C5" t="inlineStr">
        <is>
          <t xml:space="preserve">kgCO₂e/kg</t>
        </is>
      </c>
      <c r="D5" t="inlineStr">
        <is>
          <t xml:space="preserve">Optionnel — pour l'indicateur carbone</t>
        </is>
      </c>
    </row>
  </sheetData>
</worksheet>
</file>

<file path=xl/worksheets/sheet2.xml><?xml version="1.0" encoding="utf-8"?>
<worksheet xmlns="http://schemas.openxmlformats.org/spreadsheetml/2006/main">
  <dimension ref="A1:V60"/>
  <cols>
    <col min="1" max="22" width="17"/>
  </cols>
  <sheetData>
    <row r="1">
      <c r="A1" s="1" t="inlineStr">
        <is>
          <t xml:space="preserve">Identifiant</t>
        </is>
      </c>
      <c r="B1" s="1" t="inlineStr">
        <is>
          <t xml:space="preserve">Date</t>
        </is>
      </c>
      <c r="C1" s="1" t="inlineStr">
        <is>
          <t xml:space="preserve">Région / Commune</t>
        </is>
      </c>
      <c r="D1" s="1" t="inlineStr">
        <is>
          <t xml:space="preserve">Utilisateur (anonymisé)</t>
        </is>
      </c>
      <c r="E1" s="1" t="inlineStr">
        <is>
          <t xml:space="preserve">Culture</t>
        </is>
      </c>
      <c r="F1" s="1" t="inlineStr">
        <is>
          <t xml:space="preserve">Surface (ha)</t>
        </is>
      </c>
      <c r="G1" s="1" t="inlineStr">
        <is>
          <t xml:space="preserve">Eau habituelle (m³)</t>
        </is>
      </c>
      <c r="H1" s="1" t="inlineStr">
        <is>
          <t xml:space="preserve">Eau avec AgriVision (m³)</t>
        </is>
      </c>
      <c r="I1" s="1" t="inlineStr">
        <is>
          <t xml:space="preserve">Engrais habituel (kg)</t>
        </is>
      </c>
      <c r="J1" s="1" t="inlineStr">
        <is>
          <t xml:space="preserve">Engrais avec AgriVision (kg)</t>
        </is>
      </c>
      <c r="K1" s="1" t="inlineStr">
        <is>
          <t xml:space="preserve">Rendement habituel (t/ha)</t>
        </is>
      </c>
      <c r="L1" s="1" t="inlineStr">
        <is>
          <t xml:space="preserve">Rendement avec AgriVision (t/ha)</t>
        </is>
      </c>
      <c r="M1" s="1" t="inlineStr">
        <is>
          <t xml:space="preserve">Prix de vente (€/t)</t>
        </is>
      </c>
      <c r="N1" s="1" t="inlineStr">
        <is>
          <t xml:space="preserve">Coût traitement évité (€)</t>
        </is>
      </c>
      <c r="O1" s="1" t="inlineStr">
        <is>
          <t xml:space="preserve">Eau économisée (m³)</t>
        </is>
      </c>
      <c r="P1" s="1" t="inlineStr">
        <is>
          <t xml:space="preserve">Eau économisée (€)</t>
        </is>
      </c>
      <c r="Q1" s="1" t="inlineStr">
        <is>
          <t xml:space="preserve">Engrais économisé (kg)</t>
        </is>
      </c>
      <c r="R1" s="1" t="inlineStr">
        <is>
          <t xml:space="preserve">Engrais économisé (€)</t>
        </is>
      </c>
      <c r="S1" s="1" t="inlineStr">
        <is>
          <t xml:space="preserve">Gain de rendement (t)</t>
        </is>
      </c>
      <c r="T1" s="1" t="inlineStr">
        <is>
          <t xml:space="preserve">Valeur additionnelle (€)</t>
        </is>
      </c>
      <c r="U1" s="1" t="inlineStr">
        <is>
          <t xml:space="preserve">CO₂ évité (kgCO₂e)</t>
        </is>
      </c>
      <c r="V1" s="1" t="inlineStr">
        <is>
          <t xml:space="preserve">Notes</t>
        </is>
      </c>
    </row>
    <row r="2">
      <c r="A2" t="inlineStr">
        <is>
          <t xml:space="preserve">EX-001</t>
        </is>
      </c>
      <c r="B2" t="inlineStr">
        <is>
          <t xml:space="preserve">2026-01-15</t>
        </is>
      </c>
      <c r="C2" t="inlineStr">
        <is>
          <t xml:space="preserve">Saint-Pierre</t>
        </is>
      </c>
      <c r="D2" t="inlineStr">
        <is>
          <t xml:space="preserve">U001</t>
        </is>
      </c>
      <c r="E2" t="inlineStr">
        <is>
          <t xml:space="preserve">Canne à sucre</t>
        </is>
      </c>
      <c r="F2">
        <v>2.5</v>
      </c>
      <c r="G2">
        <v>4500</v>
      </c>
      <c r="H2">
        <v>3900</v>
      </c>
      <c r="I2">
        <v>600</v>
      </c>
      <c r="J2">
        <v>480</v>
      </c>
      <c r="K2">
        <v>85</v>
      </c>
      <c r="L2">
        <v>90</v>
      </c>
      <c r="M2">
        <v>45</v>
      </c>
      <c r="N2">
        <v>120</v>
      </c>
      <c r="O2">
        <f>=IF($A2="","",G2-H2)</f>
      </c>
      <c r="P2">
        <f>=IF($A2="","",O2*'Hypothèses'!$B$2)</f>
      </c>
      <c r="Q2">
        <f>=IF($A2="","",I2-J2)</f>
      </c>
      <c r="R2">
        <f>=IF($A2="","",Q2*'Hypothèses'!$B$3)</f>
      </c>
      <c r="S2">
        <f>=IF($A2="","",(L2-K2)*F2)</f>
      </c>
      <c r="T2">
        <f>=IF($A2="","",S2*M2+N2)</f>
      </c>
      <c r="U2">
        <f>=IF($A2="","",Q2*'Hypothèses'!$B$5)</f>
      </c>
    </row>
    <row r="3">
      <c r="A3" t="inlineStr">
        <is>
          <t xml:space="preserve">EX-002</t>
        </is>
      </c>
      <c r="B3" t="inlineStr">
        <is>
          <t xml:space="preserve">2026-01-20</t>
        </is>
      </c>
      <c r="C3" t="inlineStr">
        <is>
          <t xml:space="preserve">Saint-Joseph</t>
        </is>
      </c>
      <c r="D3" t="inlineStr">
        <is>
          <t xml:space="preserve">U002</t>
        </is>
      </c>
      <c r="E3" t="inlineStr">
        <is>
          <t xml:space="preserve">Banane</t>
        </is>
      </c>
      <c r="F3">
        <v>1.2</v>
      </c>
      <c r="G3">
        <v>3000</v>
      </c>
      <c r="H3">
        <v>2600</v>
      </c>
      <c r="I3">
        <v>350</v>
      </c>
      <c r="J3">
        <v>290</v>
      </c>
      <c r="K3">
        <v>30</v>
      </c>
      <c r="L3">
        <v>33</v>
      </c>
      <c r="M3">
        <v>600</v>
      </c>
      <c r="N3">
        <v>80</v>
      </c>
      <c r="O3">
        <f>=IF($A3="","",G3-H3)</f>
      </c>
      <c r="P3">
        <f>=IF($A3="","",O3*'Hypothèses'!$B$2)</f>
      </c>
      <c r="Q3">
        <f>=IF($A3="","",I3-J3)</f>
      </c>
      <c r="R3">
        <f>=IF($A3="","",Q3*'Hypothèses'!$B$3)</f>
      </c>
      <c r="S3">
        <f>=IF($A3="","",(L3-K3)*F3)</f>
      </c>
      <c r="T3">
        <f>=IF($A3="","",S3*M3+N3)</f>
      </c>
      <c r="U3">
        <f>=IF($A3="","",Q3*'Hypothèses'!$B$5)</f>
      </c>
    </row>
    <row r="4">
      <c r="A4" t="inlineStr">
        <is>
          <t xml:space="preserve">EX-003</t>
        </is>
      </c>
      <c r="B4" t="inlineStr">
        <is>
          <t xml:space="preserve">2026-02-03</t>
        </is>
      </c>
      <c r="C4" t="inlineStr">
        <is>
          <t xml:space="preserve">Le Tampon</t>
        </is>
      </c>
      <c r="D4" t="inlineStr">
        <is>
          <t xml:space="preserve">U003</t>
        </is>
      </c>
      <c r="E4" t="inlineStr">
        <is>
          <t xml:space="preserve">Maraîchage (tomate)</t>
        </is>
      </c>
      <c r="F4">
        <v>0.5</v>
      </c>
      <c r="G4">
        <v>1800</v>
      </c>
      <c r="H4">
        <v>1450</v>
      </c>
      <c r="I4">
        <v>180</v>
      </c>
      <c r="J4">
        <v>140</v>
      </c>
      <c r="K4">
        <v>60</v>
      </c>
      <c r="L4">
        <v>66</v>
      </c>
      <c r="M4">
        <v>900</v>
      </c>
      <c r="N4">
        <v>200</v>
      </c>
      <c r="O4">
        <f>=IF($A4="","",G4-H4)</f>
      </c>
      <c r="P4">
        <f>=IF($A4="","",O4*'Hypothèses'!$B$2)</f>
      </c>
      <c r="Q4">
        <f>=IF($A4="","",I4-J4)</f>
      </c>
      <c r="R4">
        <f>=IF($A4="","",Q4*'Hypothèses'!$B$3)</f>
      </c>
      <c r="S4">
        <f>=IF($A4="","",(L4-K4)*F4)</f>
      </c>
      <c r="T4">
        <f>=IF($A4="","",S4*M4+N4)</f>
      </c>
      <c r="U4">
        <f>=IF($A4="","",Q4*'Hypothèses'!$B$5)</f>
      </c>
    </row>
    <row r="5">
      <c r="A5" t="inlineStr">
        <is>
          <t xml:space="preserve">EX-004</t>
        </is>
      </c>
      <c r="B5" t="inlineStr">
        <is>
          <t xml:space="preserve">2026-02-10</t>
        </is>
      </c>
      <c r="C5" t="inlineStr">
        <is>
          <t xml:space="preserve">Saint-Paul</t>
        </is>
      </c>
      <c r="D5" t="inlineStr">
        <is>
          <t xml:space="preserve">U004</t>
        </is>
      </c>
      <c r="E5" t="inlineStr">
        <is>
          <t xml:space="preserve">Agrumes</t>
        </is>
      </c>
      <c r="F5">
        <v>1.8</v>
      </c>
      <c r="G5">
        <v>2700</v>
      </c>
      <c r="H5">
        <v>2400</v>
      </c>
      <c r="I5">
        <v>420</v>
      </c>
      <c r="J5">
        <v>360</v>
      </c>
      <c r="K5">
        <v>22</v>
      </c>
      <c r="L5">
        <v>24</v>
      </c>
      <c r="M5">
        <v>700</v>
      </c>
      <c r="N5">
        <v>90</v>
      </c>
      <c r="O5">
        <f>=IF($A5="","",G5-H5)</f>
      </c>
      <c r="P5">
        <f>=IF($A5="","",O5*'Hypothèses'!$B$2)</f>
      </c>
      <c r="Q5">
        <f>=IF($A5="","",I5-J5)</f>
      </c>
      <c r="R5">
        <f>=IF($A5="","",Q5*'Hypothèses'!$B$3)</f>
      </c>
      <c r="S5">
        <f>=IF($A5="","",(L5-K5)*F5)</f>
      </c>
      <c r="T5">
        <f>=IF($A5="","",S5*M5+N5)</f>
      </c>
      <c r="U5">
        <f>=IF($A5="","",Q5*'Hypothèses'!$B$5)</f>
      </c>
    </row>
    <row r="6">
      <c r="A6" t="inlineStr">
        <is>
          <t xml:space="preserve">EX-005</t>
        </is>
      </c>
      <c r="B6" t="inlineStr">
        <is>
          <t xml:space="preserve">2026-02-22</t>
        </is>
      </c>
      <c r="C6" t="inlineStr">
        <is>
          <t xml:space="preserve">Saint-Benoît</t>
        </is>
      </c>
      <c r="D6" t="inlineStr">
        <is>
          <t xml:space="preserve">U005</t>
        </is>
      </c>
      <c r="E6" t="inlineStr">
        <is>
          <t xml:space="preserve">Canne à sucre</t>
        </is>
      </c>
      <c r="F6">
        <v>3.0</v>
      </c>
      <c r="G6">
        <v>5400</v>
      </c>
      <c r="H6">
        <v>4700</v>
      </c>
      <c r="I6">
        <v>720</v>
      </c>
      <c r="J6">
        <v>600</v>
      </c>
      <c r="K6">
        <v>80</v>
      </c>
      <c r="L6">
        <v>84</v>
      </c>
      <c r="M6">
        <v>45</v>
      </c>
      <c r="N6">
        <v>150</v>
      </c>
      <c r="O6">
        <f>=IF($A6="","",G6-H6)</f>
      </c>
      <c r="P6">
        <f>=IF($A6="","",O6*'Hypothèses'!$B$2)</f>
      </c>
      <c r="Q6">
        <f>=IF($A6="","",I6-J6)</f>
      </c>
      <c r="R6">
        <f>=IF($A6="","",Q6*'Hypothèses'!$B$3)</f>
      </c>
      <c r="S6">
        <f>=IF($A6="","",(L6-K6)*F6)</f>
      </c>
      <c r="T6">
        <f>=IF($A6="","",S6*M6+N6)</f>
      </c>
      <c r="U6">
        <f>=IF($A6="","",Q6*'Hypothèses'!$B$5)</f>
      </c>
    </row>
    <row r="7">
      <c r="A7" t="inlineStr">
        <is>
          <t xml:space="preserve">EX-006</t>
        </is>
      </c>
      <c r="B7" t="inlineStr">
        <is>
          <t xml:space="preserve">2026-03-05</t>
        </is>
      </c>
      <c r="C7" t="inlineStr">
        <is>
          <t xml:space="preserve">Sainte-Marie</t>
        </is>
      </c>
      <c r="D7" t="inlineStr">
        <is>
          <t xml:space="preserve">U006</t>
        </is>
      </c>
      <c r="E7" t="inlineStr">
        <is>
          <t xml:space="preserve">Ananas</t>
        </is>
      </c>
      <c r="F7">
        <v>0.8</v>
      </c>
      <c r="G7">
        <v>2200</v>
      </c>
      <c r="H7">
        <v>1900</v>
      </c>
      <c r="I7">
        <v>240</v>
      </c>
      <c r="J7">
        <v>200</v>
      </c>
      <c r="K7">
        <v>50</v>
      </c>
      <c r="L7">
        <v>54</v>
      </c>
      <c r="M7">
        <v>800</v>
      </c>
      <c r="N7">
        <v>60</v>
      </c>
      <c r="O7">
        <f>=IF($A7="","",G7-H7)</f>
      </c>
      <c r="P7">
        <f>=IF($A7="","",O7*'Hypothèses'!$B$2)</f>
      </c>
      <c r="Q7">
        <f>=IF($A7="","",I7-J7)</f>
      </c>
      <c r="R7">
        <f>=IF($A7="","",Q7*'Hypothèses'!$B$3)</f>
      </c>
      <c r="S7">
        <f>=IF($A7="","",(L7-K7)*F7)</f>
      </c>
      <c r="T7">
        <f>=IF($A7="","",S7*M7+N7)</f>
      </c>
      <c r="U7">
        <f>=IF($A7="","",Q7*'Hypothèses'!$B$5)</f>
      </c>
    </row>
    <row r="8">
      <c r="O8">
        <f>=IF($A8="","",G8-H8)</f>
      </c>
      <c r="P8">
        <f>=IF($A8="","",O8*'Hypothèses'!$B$2)</f>
      </c>
      <c r="Q8">
        <f>=IF($A8="","",I8-J8)</f>
      </c>
      <c r="R8">
        <f>=IF($A8="","",Q8*'Hypothèses'!$B$3)</f>
      </c>
      <c r="S8">
        <f>=IF($A8="","",(L8-K8)*F8)</f>
      </c>
      <c r="T8">
        <f>=IF($A8="","",S8*M8+N8)</f>
      </c>
      <c r="U8">
        <f>=IF($A8="","",Q8*'Hypothèses'!$B$5)</f>
      </c>
    </row>
    <row r="9">
      <c r="O9">
        <f>=IF($A9="","",G9-H9)</f>
      </c>
      <c r="P9">
        <f>=IF($A9="","",O9*'Hypothèses'!$B$2)</f>
      </c>
      <c r="Q9">
        <f>=IF($A9="","",I9-J9)</f>
      </c>
      <c r="R9">
        <f>=IF($A9="","",Q9*'Hypothèses'!$B$3)</f>
      </c>
      <c r="S9">
        <f>=IF($A9="","",(L9-K9)*F9)</f>
      </c>
      <c r="T9">
        <f>=IF($A9="","",S9*M9+N9)</f>
      </c>
      <c r="U9">
        <f>=IF($A9="","",Q9*'Hypothèses'!$B$5)</f>
      </c>
    </row>
    <row r="10">
      <c r="O10">
        <f>=IF($A10="","",G10-H10)</f>
      </c>
      <c r="P10">
        <f>=IF($A10="","",O10*'Hypothèses'!$B$2)</f>
      </c>
      <c r="Q10">
        <f>=IF($A10="","",I10-J10)</f>
      </c>
      <c r="R10">
        <f>=IF($A10="","",Q10*'Hypothèses'!$B$3)</f>
      </c>
      <c r="S10">
        <f>=IF($A10="","",(L10-K10)*F10)</f>
      </c>
      <c r="T10">
        <f>=IF($A10="","",S10*M10+N10)</f>
      </c>
      <c r="U10">
        <f>=IF($A10="","",Q10*'Hypothèses'!$B$5)</f>
      </c>
    </row>
    <row r="11">
      <c r="O11">
        <f>=IF($A11="","",G11-H11)</f>
      </c>
      <c r="P11">
        <f>=IF($A11="","",O11*'Hypothèses'!$B$2)</f>
      </c>
      <c r="Q11">
        <f>=IF($A11="","",I11-J11)</f>
      </c>
      <c r="R11">
        <f>=IF($A11="","",Q11*'Hypothèses'!$B$3)</f>
      </c>
      <c r="S11">
        <f>=IF($A11="","",(L11-K11)*F11)</f>
      </c>
      <c r="T11">
        <f>=IF($A11="","",S11*M11+N11)</f>
      </c>
      <c r="U11">
        <f>=IF($A11="","",Q11*'Hypothèses'!$B$5)</f>
      </c>
    </row>
    <row r="12">
      <c r="O12">
        <f>=IF($A12="","",G12-H12)</f>
      </c>
      <c r="P12">
        <f>=IF($A12="","",O12*'Hypothèses'!$B$2)</f>
      </c>
      <c r="Q12">
        <f>=IF($A12="","",I12-J12)</f>
      </c>
      <c r="R12">
        <f>=IF($A12="","",Q12*'Hypothèses'!$B$3)</f>
      </c>
      <c r="S12">
        <f>=IF($A12="","",(L12-K12)*F12)</f>
      </c>
      <c r="T12">
        <f>=IF($A12="","",S12*M12+N12)</f>
      </c>
      <c r="U12">
        <f>=IF($A12="","",Q12*'Hypothèses'!$B$5)</f>
      </c>
    </row>
    <row r="13">
      <c r="O13">
        <f>=IF($A13="","",G13-H13)</f>
      </c>
      <c r="P13">
        <f>=IF($A13="","",O13*'Hypothèses'!$B$2)</f>
      </c>
      <c r="Q13">
        <f>=IF($A13="","",I13-J13)</f>
      </c>
      <c r="R13">
        <f>=IF($A13="","",Q13*'Hypothèses'!$B$3)</f>
      </c>
      <c r="S13">
        <f>=IF($A13="","",(L13-K13)*F13)</f>
      </c>
      <c r="T13">
        <f>=IF($A13="","",S13*M13+N13)</f>
      </c>
      <c r="U13">
        <f>=IF($A13="","",Q13*'Hypothèses'!$B$5)</f>
      </c>
    </row>
    <row r="14">
      <c r="O14">
        <f>=IF($A14="","",G14-H14)</f>
      </c>
      <c r="P14">
        <f>=IF($A14="","",O14*'Hypothèses'!$B$2)</f>
      </c>
      <c r="Q14">
        <f>=IF($A14="","",I14-J14)</f>
      </c>
      <c r="R14">
        <f>=IF($A14="","",Q14*'Hypothèses'!$B$3)</f>
      </c>
      <c r="S14">
        <f>=IF($A14="","",(L14-K14)*F14)</f>
      </c>
      <c r="T14">
        <f>=IF($A14="","",S14*M14+N14)</f>
      </c>
      <c r="U14">
        <f>=IF($A14="","",Q14*'Hypothèses'!$B$5)</f>
      </c>
    </row>
    <row r="15">
      <c r="O15">
        <f>=IF($A15="","",G15-H15)</f>
      </c>
      <c r="P15">
        <f>=IF($A15="","",O15*'Hypothèses'!$B$2)</f>
      </c>
      <c r="Q15">
        <f>=IF($A15="","",I15-J15)</f>
      </c>
      <c r="R15">
        <f>=IF($A15="","",Q15*'Hypothèses'!$B$3)</f>
      </c>
      <c r="S15">
        <f>=IF($A15="","",(L15-K15)*F15)</f>
      </c>
      <c r="T15">
        <f>=IF($A15="","",S15*M15+N15)</f>
      </c>
      <c r="U15">
        <f>=IF($A15="","",Q15*'Hypothèses'!$B$5)</f>
      </c>
    </row>
    <row r="16">
      <c r="O16">
        <f>=IF($A16="","",G16-H16)</f>
      </c>
      <c r="P16">
        <f>=IF($A16="","",O16*'Hypothèses'!$B$2)</f>
      </c>
      <c r="Q16">
        <f>=IF($A16="","",I16-J16)</f>
      </c>
      <c r="R16">
        <f>=IF($A16="","",Q16*'Hypothèses'!$B$3)</f>
      </c>
      <c r="S16">
        <f>=IF($A16="","",(L16-K16)*F16)</f>
      </c>
      <c r="T16">
        <f>=IF($A16="","",S16*M16+N16)</f>
      </c>
      <c r="U16">
        <f>=IF($A16="","",Q16*'Hypothèses'!$B$5)</f>
      </c>
    </row>
    <row r="17">
      <c r="O17">
        <f>=IF($A17="","",G17-H17)</f>
      </c>
      <c r="P17">
        <f>=IF($A17="","",O17*'Hypothèses'!$B$2)</f>
      </c>
      <c r="Q17">
        <f>=IF($A17="","",I17-J17)</f>
      </c>
      <c r="R17">
        <f>=IF($A17="","",Q17*'Hypothèses'!$B$3)</f>
      </c>
      <c r="S17">
        <f>=IF($A17="","",(L17-K17)*F17)</f>
      </c>
      <c r="T17">
        <f>=IF($A17="","",S17*M17+N17)</f>
      </c>
      <c r="U17">
        <f>=IF($A17="","",Q17*'Hypothèses'!$B$5)</f>
      </c>
    </row>
    <row r="18">
      <c r="O18">
        <f>=IF($A18="","",G18-H18)</f>
      </c>
      <c r="P18">
        <f>=IF($A18="","",O18*'Hypothèses'!$B$2)</f>
      </c>
      <c r="Q18">
        <f>=IF($A18="","",I18-J18)</f>
      </c>
      <c r="R18">
        <f>=IF($A18="","",Q18*'Hypothèses'!$B$3)</f>
      </c>
      <c r="S18">
        <f>=IF($A18="","",(L18-K18)*F18)</f>
      </c>
      <c r="T18">
        <f>=IF($A18="","",S18*M18+N18)</f>
      </c>
      <c r="U18">
        <f>=IF($A18="","",Q18*'Hypothèses'!$B$5)</f>
      </c>
    </row>
    <row r="19">
      <c r="O19">
        <f>=IF($A19="","",G19-H19)</f>
      </c>
      <c r="P19">
        <f>=IF($A19="","",O19*'Hypothèses'!$B$2)</f>
      </c>
      <c r="Q19">
        <f>=IF($A19="","",I19-J19)</f>
      </c>
      <c r="R19">
        <f>=IF($A19="","",Q19*'Hypothèses'!$B$3)</f>
      </c>
      <c r="S19">
        <f>=IF($A19="","",(L19-K19)*F19)</f>
      </c>
      <c r="T19">
        <f>=IF($A19="","",S19*M19+N19)</f>
      </c>
      <c r="U19">
        <f>=IF($A19="","",Q19*'Hypothèses'!$B$5)</f>
      </c>
    </row>
    <row r="20">
      <c r="O20">
        <f>=IF($A20="","",G20-H20)</f>
      </c>
      <c r="P20">
        <f>=IF($A20="","",O20*'Hypothèses'!$B$2)</f>
      </c>
      <c r="Q20">
        <f>=IF($A20="","",I20-J20)</f>
      </c>
      <c r="R20">
        <f>=IF($A20="","",Q20*'Hypothèses'!$B$3)</f>
      </c>
      <c r="S20">
        <f>=IF($A20="","",(L20-K20)*F20)</f>
      </c>
      <c r="T20">
        <f>=IF($A20="","",S20*M20+N20)</f>
      </c>
      <c r="U20">
        <f>=IF($A20="","",Q20*'Hypothèses'!$B$5)</f>
      </c>
    </row>
    <row r="21">
      <c r="O21">
        <f>=IF($A21="","",G21-H21)</f>
      </c>
      <c r="P21">
        <f>=IF($A21="","",O21*'Hypothèses'!$B$2)</f>
      </c>
      <c r="Q21">
        <f>=IF($A21="","",I21-J21)</f>
      </c>
      <c r="R21">
        <f>=IF($A21="","",Q21*'Hypothèses'!$B$3)</f>
      </c>
      <c r="S21">
        <f>=IF($A21="","",(L21-K21)*F21)</f>
      </c>
      <c r="T21">
        <f>=IF($A21="","",S21*M21+N21)</f>
      </c>
      <c r="U21">
        <f>=IF($A21="","",Q21*'Hypothèses'!$B$5)</f>
      </c>
    </row>
    <row r="22">
      <c r="O22">
        <f>=IF($A22="","",G22-H22)</f>
      </c>
      <c r="P22">
        <f>=IF($A22="","",O22*'Hypothèses'!$B$2)</f>
      </c>
      <c r="Q22">
        <f>=IF($A22="","",I22-J22)</f>
      </c>
      <c r="R22">
        <f>=IF($A22="","",Q22*'Hypothèses'!$B$3)</f>
      </c>
      <c r="S22">
        <f>=IF($A22="","",(L22-K22)*F22)</f>
      </c>
      <c r="T22">
        <f>=IF($A22="","",S22*M22+N22)</f>
      </c>
      <c r="U22">
        <f>=IF($A22="","",Q22*'Hypothèses'!$B$5)</f>
      </c>
    </row>
    <row r="23">
      <c r="O23">
        <f>=IF($A23="","",G23-H23)</f>
      </c>
      <c r="P23">
        <f>=IF($A23="","",O23*'Hypothèses'!$B$2)</f>
      </c>
      <c r="Q23">
        <f>=IF($A23="","",I23-J23)</f>
      </c>
      <c r="R23">
        <f>=IF($A23="","",Q23*'Hypothèses'!$B$3)</f>
      </c>
      <c r="S23">
        <f>=IF($A23="","",(L23-K23)*F23)</f>
      </c>
      <c r="T23">
        <f>=IF($A23="","",S23*M23+N23)</f>
      </c>
      <c r="U23">
        <f>=IF($A23="","",Q23*'Hypothèses'!$B$5)</f>
      </c>
    </row>
    <row r="24">
      <c r="O24">
        <f>=IF($A24="","",G24-H24)</f>
      </c>
      <c r="P24">
        <f>=IF($A24="","",O24*'Hypothèses'!$B$2)</f>
      </c>
      <c r="Q24">
        <f>=IF($A24="","",I24-J24)</f>
      </c>
      <c r="R24">
        <f>=IF($A24="","",Q24*'Hypothèses'!$B$3)</f>
      </c>
      <c r="S24">
        <f>=IF($A24="","",(L24-K24)*F24)</f>
      </c>
      <c r="T24">
        <f>=IF($A24="","",S24*M24+N24)</f>
      </c>
      <c r="U24">
        <f>=IF($A24="","",Q24*'Hypothèses'!$B$5)</f>
      </c>
    </row>
    <row r="25">
      <c r="O25">
        <f>=IF($A25="","",G25-H25)</f>
      </c>
      <c r="P25">
        <f>=IF($A25="","",O25*'Hypothèses'!$B$2)</f>
      </c>
      <c r="Q25">
        <f>=IF($A25="","",I25-J25)</f>
      </c>
      <c r="R25">
        <f>=IF($A25="","",Q25*'Hypothèses'!$B$3)</f>
      </c>
      <c r="S25">
        <f>=IF($A25="","",(L25-K25)*F25)</f>
      </c>
      <c r="T25">
        <f>=IF($A25="","",S25*M25+N25)</f>
      </c>
      <c r="U25">
        <f>=IF($A25="","",Q25*'Hypothèses'!$B$5)</f>
      </c>
    </row>
    <row r="26">
      <c r="O26">
        <f>=IF($A26="","",G26-H26)</f>
      </c>
      <c r="P26">
        <f>=IF($A26="","",O26*'Hypothèses'!$B$2)</f>
      </c>
      <c r="Q26">
        <f>=IF($A26="","",I26-J26)</f>
      </c>
      <c r="R26">
        <f>=IF($A26="","",Q26*'Hypothèses'!$B$3)</f>
      </c>
      <c r="S26">
        <f>=IF($A26="","",(L26-K26)*F26)</f>
      </c>
      <c r="T26">
        <f>=IF($A26="","",S26*M26+N26)</f>
      </c>
      <c r="U26">
        <f>=IF($A26="","",Q26*'Hypothèses'!$B$5)</f>
      </c>
    </row>
    <row r="27">
      <c r="O27">
        <f>=IF($A27="","",G27-H27)</f>
      </c>
      <c r="P27">
        <f>=IF($A27="","",O27*'Hypothèses'!$B$2)</f>
      </c>
      <c r="Q27">
        <f>=IF($A27="","",I27-J27)</f>
      </c>
      <c r="R27">
        <f>=IF($A27="","",Q27*'Hypothèses'!$B$3)</f>
      </c>
      <c r="S27">
        <f>=IF($A27="","",(L27-K27)*F27)</f>
      </c>
      <c r="T27">
        <f>=IF($A27="","",S27*M27+N27)</f>
      </c>
      <c r="U27">
        <f>=IF($A27="","",Q27*'Hypothèses'!$B$5)</f>
      </c>
    </row>
    <row r="28">
      <c r="O28">
        <f>=IF($A28="","",G28-H28)</f>
      </c>
      <c r="P28">
        <f>=IF($A28="","",O28*'Hypothèses'!$B$2)</f>
      </c>
      <c r="Q28">
        <f>=IF($A28="","",I28-J28)</f>
      </c>
      <c r="R28">
        <f>=IF($A28="","",Q28*'Hypothèses'!$B$3)</f>
      </c>
      <c r="S28">
        <f>=IF($A28="","",(L28-K28)*F28)</f>
      </c>
      <c r="T28">
        <f>=IF($A28="","",S28*M28+N28)</f>
      </c>
      <c r="U28">
        <f>=IF($A28="","",Q28*'Hypothèses'!$B$5)</f>
      </c>
    </row>
    <row r="29">
      <c r="O29">
        <f>=IF($A29="","",G29-H29)</f>
      </c>
      <c r="P29">
        <f>=IF($A29="","",O29*'Hypothèses'!$B$2)</f>
      </c>
      <c r="Q29">
        <f>=IF($A29="","",I29-J29)</f>
      </c>
      <c r="R29">
        <f>=IF($A29="","",Q29*'Hypothèses'!$B$3)</f>
      </c>
      <c r="S29">
        <f>=IF($A29="","",(L29-K29)*F29)</f>
      </c>
      <c r="T29">
        <f>=IF($A29="","",S29*M29+N29)</f>
      </c>
      <c r="U29">
        <f>=IF($A29="","",Q29*'Hypothèses'!$B$5)</f>
      </c>
    </row>
    <row r="30">
      <c r="O30">
        <f>=IF($A30="","",G30-H30)</f>
      </c>
      <c r="P30">
        <f>=IF($A30="","",O30*'Hypothèses'!$B$2)</f>
      </c>
      <c r="Q30">
        <f>=IF($A30="","",I30-J30)</f>
      </c>
      <c r="R30">
        <f>=IF($A30="","",Q30*'Hypothèses'!$B$3)</f>
      </c>
      <c r="S30">
        <f>=IF($A30="","",(L30-K30)*F30)</f>
      </c>
      <c r="T30">
        <f>=IF($A30="","",S30*M30+N30)</f>
      </c>
      <c r="U30">
        <f>=IF($A30="","",Q30*'Hypothèses'!$B$5)</f>
      </c>
    </row>
    <row r="31">
      <c r="O31">
        <f>=IF($A31="","",G31-H31)</f>
      </c>
      <c r="P31">
        <f>=IF($A31="","",O31*'Hypothèses'!$B$2)</f>
      </c>
      <c r="Q31">
        <f>=IF($A31="","",I31-J31)</f>
      </c>
      <c r="R31">
        <f>=IF($A31="","",Q31*'Hypothèses'!$B$3)</f>
      </c>
      <c r="S31">
        <f>=IF($A31="","",(L31-K31)*F31)</f>
      </c>
      <c r="T31">
        <f>=IF($A31="","",S31*M31+N31)</f>
      </c>
      <c r="U31">
        <f>=IF($A31="","",Q31*'Hypothèses'!$B$5)</f>
      </c>
    </row>
    <row r="32">
      <c r="O32">
        <f>=IF($A32="","",G32-H32)</f>
      </c>
      <c r="P32">
        <f>=IF($A32="","",O32*'Hypothèses'!$B$2)</f>
      </c>
      <c r="Q32">
        <f>=IF($A32="","",I32-J32)</f>
      </c>
      <c r="R32">
        <f>=IF($A32="","",Q32*'Hypothèses'!$B$3)</f>
      </c>
      <c r="S32">
        <f>=IF($A32="","",(L32-K32)*F32)</f>
      </c>
      <c r="T32">
        <f>=IF($A32="","",S32*M32+N32)</f>
      </c>
      <c r="U32">
        <f>=IF($A32="","",Q32*'Hypothèses'!$B$5)</f>
      </c>
    </row>
    <row r="33">
      <c r="O33">
        <f>=IF($A33="","",G33-H33)</f>
      </c>
      <c r="P33">
        <f>=IF($A33="","",O33*'Hypothèses'!$B$2)</f>
      </c>
      <c r="Q33">
        <f>=IF($A33="","",I33-J33)</f>
      </c>
      <c r="R33">
        <f>=IF($A33="","",Q33*'Hypothèses'!$B$3)</f>
      </c>
      <c r="S33">
        <f>=IF($A33="","",(L33-K33)*F33)</f>
      </c>
      <c r="T33">
        <f>=IF($A33="","",S33*M33+N33)</f>
      </c>
      <c r="U33">
        <f>=IF($A33="","",Q33*'Hypothèses'!$B$5)</f>
      </c>
    </row>
    <row r="34">
      <c r="O34">
        <f>=IF($A34="","",G34-H34)</f>
      </c>
      <c r="P34">
        <f>=IF($A34="","",O34*'Hypothèses'!$B$2)</f>
      </c>
      <c r="Q34">
        <f>=IF($A34="","",I34-J34)</f>
      </c>
      <c r="R34">
        <f>=IF($A34="","",Q34*'Hypothèses'!$B$3)</f>
      </c>
      <c r="S34">
        <f>=IF($A34="","",(L34-K34)*F34)</f>
      </c>
      <c r="T34">
        <f>=IF($A34="","",S34*M34+N34)</f>
      </c>
      <c r="U34">
        <f>=IF($A34="","",Q34*'Hypothèses'!$B$5)</f>
      </c>
    </row>
    <row r="35">
      <c r="O35">
        <f>=IF($A35="","",G35-H35)</f>
      </c>
      <c r="P35">
        <f>=IF($A35="","",O35*'Hypothèses'!$B$2)</f>
      </c>
      <c r="Q35">
        <f>=IF($A35="","",I35-J35)</f>
      </c>
      <c r="R35">
        <f>=IF($A35="","",Q35*'Hypothèses'!$B$3)</f>
      </c>
      <c r="S35">
        <f>=IF($A35="","",(L35-K35)*F35)</f>
      </c>
      <c r="T35">
        <f>=IF($A35="","",S35*M35+N35)</f>
      </c>
      <c r="U35">
        <f>=IF($A35="","",Q35*'Hypothèses'!$B$5)</f>
      </c>
    </row>
    <row r="36">
      <c r="O36">
        <f>=IF($A36="","",G36-H36)</f>
      </c>
      <c r="P36">
        <f>=IF($A36="","",O36*'Hypothèses'!$B$2)</f>
      </c>
      <c r="Q36">
        <f>=IF($A36="","",I36-J36)</f>
      </c>
      <c r="R36">
        <f>=IF($A36="","",Q36*'Hypothèses'!$B$3)</f>
      </c>
      <c r="S36">
        <f>=IF($A36="","",(L36-K36)*F36)</f>
      </c>
      <c r="T36">
        <f>=IF($A36="","",S36*M36+N36)</f>
      </c>
      <c r="U36">
        <f>=IF($A36="","",Q36*'Hypothèses'!$B$5)</f>
      </c>
    </row>
    <row r="37">
      <c r="O37">
        <f>=IF($A37="","",G37-H37)</f>
      </c>
      <c r="P37">
        <f>=IF($A37="","",O37*'Hypothèses'!$B$2)</f>
      </c>
      <c r="Q37">
        <f>=IF($A37="","",I37-J37)</f>
      </c>
      <c r="R37">
        <f>=IF($A37="","",Q37*'Hypothèses'!$B$3)</f>
      </c>
      <c r="S37">
        <f>=IF($A37="","",(L37-K37)*F37)</f>
      </c>
      <c r="T37">
        <f>=IF($A37="","",S37*M37+N37)</f>
      </c>
      <c r="U37">
        <f>=IF($A37="","",Q37*'Hypothèses'!$B$5)</f>
      </c>
    </row>
    <row r="38">
      <c r="O38">
        <f>=IF($A38="","",G38-H38)</f>
      </c>
      <c r="P38">
        <f>=IF($A38="","",O38*'Hypothèses'!$B$2)</f>
      </c>
      <c r="Q38">
        <f>=IF($A38="","",I38-J38)</f>
      </c>
      <c r="R38">
        <f>=IF($A38="","",Q38*'Hypothèses'!$B$3)</f>
      </c>
      <c r="S38">
        <f>=IF($A38="","",(L38-K38)*F38)</f>
      </c>
      <c r="T38">
        <f>=IF($A38="","",S38*M38+N38)</f>
      </c>
      <c r="U38">
        <f>=IF($A38="","",Q38*'Hypothèses'!$B$5)</f>
      </c>
    </row>
    <row r="39">
      <c r="O39">
        <f>=IF($A39="","",G39-H39)</f>
      </c>
      <c r="P39">
        <f>=IF($A39="","",O39*'Hypothèses'!$B$2)</f>
      </c>
      <c r="Q39">
        <f>=IF($A39="","",I39-J39)</f>
      </c>
      <c r="R39">
        <f>=IF($A39="","",Q39*'Hypothèses'!$B$3)</f>
      </c>
      <c r="S39">
        <f>=IF($A39="","",(L39-K39)*F39)</f>
      </c>
      <c r="T39">
        <f>=IF($A39="","",S39*M39+N39)</f>
      </c>
      <c r="U39">
        <f>=IF($A39="","",Q39*'Hypothèses'!$B$5)</f>
      </c>
    </row>
    <row r="40">
      <c r="O40">
        <f>=IF($A40="","",G40-H40)</f>
      </c>
      <c r="P40">
        <f>=IF($A40="","",O40*'Hypothèses'!$B$2)</f>
      </c>
      <c r="Q40">
        <f>=IF($A40="","",I40-J40)</f>
      </c>
      <c r="R40">
        <f>=IF($A40="","",Q40*'Hypothèses'!$B$3)</f>
      </c>
      <c r="S40">
        <f>=IF($A40="","",(L40-K40)*F40)</f>
      </c>
      <c r="T40">
        <f>=IF($A40="","",S40*M40+N40)</f>
      </c>
      <c r="U40">
        <f>=IF($A40="","",Q40*'Hypothèses'!$B$5)</f>
      </c>
    </row>
    <row r="41">
      <c r="O41">
        <f>=IF($A41="","",G41-H41)</f>
      </c>
      <c r="P41">
        <f>=IF($A41="","",O41*'Hypothèses'!$B$2)</f>
      </c>
      <c r="Q41">
        <f>=IF($A41="","",I41-J41)</f>
      </c>
      <c r="R41">
        <f>=IF($A41="","",Q41*'Hypothèses'!$B$3)</f>
      </c>
      <c r="S41">
        <f>=IF($A41="","",(L41-K41)*F41)</f>
      </c>
      <c r="T41">
        <f>=IF($A41="","",S41*M41+N41)</f>
      </c>
      <c r="U41">
        <f>=IF($A41="","",Q41*'Hypothèses'!$B$5)</f>
      </c>
    </row>
    <row r="42">
      <c r="O42">
        <f>=IF($A42="","",G42-H42)</f>
      </c>
      <c r="P42">
        <f>=IF($A42="","",O42*'Hypothèses'!$B$2)</f>
      </c>
      <c r="Q42">
        <f>=IF($A42="","",I42-J42)</f>
      </c>
      <c r="R42">
        <f>=IF($A42="","",Q42*'Hypothèses'!$B$3)</f>
      </c>
      <c r="S42">
        <f>=IF($A42="","",(L42-K42)*F42)</f>
      </c>
      <c r="T42">
        <f>=IF($A42="","",S42*M42+N42)</f>
      </c>
      <c r="U42">
        <f>=IF($A42="","",Q42*'Hypothèses'!$B$5)</f>
      </c>
    </row>
    <row r="43">
      <c r="O43">
        <f>=IF($A43="","",G43-H43)</f>
      </c>
      <c r="P43">
        <f>=IF($A43="","",O43*'Hypothèses'!$B$2)</f>
      </c>
      <c r="Q43">
        <f>=IF($A43="","",I43-J43)</f>
      </c>
      <c r="R43">
        <f>=IF($A43="","",Q43*'Hypothèses'!$B$3)</f>
      </c>
      <c r="S43">
        <f>=IF($A43="","",(L43-K43)*F43)</f>
      </c>
      <c r="T43">
        <f>=IF($A43="","",S43*M43+N43)</f>
      </c>
      <c r="U43">
        <f>=IF($A43="","",Q43*'Hypothèses'!$B$5)</f>
      </c>
    </row>
    <row r="44">
      <c r="O44">
        <f>=IF($A44="","",G44-H44)</f>
      </c>
      <c r="P44">
        <f>=IF($A44="","",O44*'Hypothèses'!$B$2)</f>
      </c>
      <c r="Q44">
        <f>=IF($A44="","",I44-J44)</f>
      </c>
      <c r="R44">
        <f>=IF($A44="","",Q44*'Hypothèses'!$B$3)</f>
      </c>
      <c r="S44">
        <f>=IF($A44="","",(L44-K44)*F44)</f>
      </c>
      <c r="T44">
        <f>=IF($A44="","",S44*M44+N44)</f>
      </c>
      <c r="U44">
        <f>=IF($A44="","",Q44*'Hypothèses'!$B$5)</f>
      </c>
    </row>
    <row r="45">
      <c r="O45">
        <f>=IF($A45="","",G45-H45)</f>
      </c>
      <c r="P45">
        <f>=IF($A45="","",O45*'Hypothèses'!$B$2)</f>
      </c>
      <c r="Q45">
        <f>=IF($A45="","",I45-J45)</f>
      </c>
      <c r="R45">
        <f>=IF($A45="","",Q45*'Hypothèses'!$B$3)</f>
      </c>
      <c r="S45">
        <f>=IF($A45="","",(L45-K45)*F45)</f>
      </c>
      <c r="T45">
        <f>=IF($A45="","",S45*M45+N45)</f>
      </c>
      <c r="U45">
        <f>=IF($A45="","",Q45*'Hypothèses'!$B$5)</f>
      </c>
    </row>
    <row r="46">
      <c r="O46">
        <f>=IF($A46="","",G46-H46)</f>
      </c>
      <c r="P46">
        <f>=IF($A46="","",O46*'Hypothèses'!$B$2)</f>
      </c>
      <c r="Q46">
        <f>=IF($A46="","",I46-J46)</f>
      </c>
      <c r="R46">
        <f>=IF($A46="","",Q46*'Hypothèses'!$B$3)</f>
      </c>
      <c r="S46">
        <f>=IF($A46="","",(L46-K46)*F46)</f>
      </c>
      <c r="T46">
        <f>=IF($A46="","",S46*M46+N46)</f>
      </c>
      <c r="U46">
        <f>=IF($A46="","",Q46*'Hypothèses'!$B$5)</f>
      </c>
    </row>
    <row r="47">
      <c r="O47">
        <f>=IF($A47="","",G47-H47)</f>
      </c>
      <c r="P47">
        <f>=IF($A47="","",O47*'Hypothèses'!$B$2)</f>
      </c>
      <c r="Q47">
        <f>=IF($A47="","",I47-J47)</f>
      </c>
      <c r="R47">
        <f>=IF($A47="","",Q47*'Hypothèses'!$B$3)</f>
      </c>
      <c r="S47">
        <f>=IF($A47="","",(L47-K47)*F47)</f>
      </c>
      <c r="T47">
        <f>=IF($A47="","",S47*M47+N47)</f>
      </c>
      <c r="U47">
        <f>=IF($A47="","",Q47*'Hypothèses'!$B$5)</f>
      </c>
    </row>
    <row r="48">
      <c r="O48">
        <f>=IF($A48="","",G48-H48)</f>
      </c>
      <c r="P48">
        <f>=IF($A48="","",O48*'Hypothèses'!$B$2)</f>
      </c>
      <c r="Q48">
        <f>=IF($A48="","",I48-J48)</f>
      </c>
      <c r="R48">
        <f>=IF($A48="","",Q48*'Hypothèses'!$B$3)</f>
      </c>
      <c r="S48">
        <f>=IF($A48="","",(L48-K48)*F48)</f>
      </c>
      <c r="T48">
        <f>=IF($A48="","",S48*M48+N48)</f>
      </c>
      <c r="U48">
        <f>=IF($A48="","",Q48*'Hypothèses'!$B$5)</f>
      </c>
    </row>
    <row r="49">
      <c r="O49">
        <f>=IF($A49="","",G49-H49)</f>
      </c>
      <c r="P49">
        <f>=IF($A49="","",O49*'Hypothèses'!$B$2)</f>
      </c>
      <c r="Q49">
        <f>=IF($A49="","",I49-J49)</f>
      </c>
      <c r="R49">
        <f>=IF($A49="","",Q49*'Hypothèses'!$B$3)</f>
      </c>
      <c r="S49">
        <f>=IF($A49="","",(L49-K49)*F49)</f>
      </c>
      <c r="T49">
        <f>=IF($A49="","",S49*M49+N49)</f>
      </c>
      <c r="U49">
        <f>=IF($A49="","",Q49*'Hypothèses'!$B$5)</f>
      </c>
    </row>
    <row r="50">
      <c r="O50">
        <f>=IF($A50="","",G50-H50)</f>
      </c>
      <c r="P50">
        <f>=IF($A50="","",O50*'Hypothèses'!$B$2)</f>
      </c>
      <c r="Q50">
        <f>=IF($A50="","",I50-J50)</f>
      </c>
      <c r="R50">
        <f>=IF($A50="","",Q50*'Hypothèses'!$B$3)</f>
      </c>
      <c r="S50">
        <f>=IF($A50="","",(L50-K50)*F50)</f>
      </c>
      <c r="T50">
        <f>=IF($A50="","",S50*M50+N50)</f>
      </c>
      <c r="U50">
        <f>=IF($A50="","",Q50*'Hypothèses'!$B$5)</f>
      </c>
    </row>
    <row r="51">
      <c r="O51">
        <f>=IF($A51="","",G51-H51)</f>
      </c>
      <c r="P51">
        <f>=IF($A51="","",O51*'Hypothèses'!$B$2)</f>
      </c>
      <c r="Q51">
        <f>=IF($A51="","",I51-J51)</f>
      </c>
      <c r="R51">
        <f>=IF($A51="","",Q51*'Hypothèses'!$B$3)</f>
      </c>
      <c r="S51">
        <f>=IF($A51="","",(L51-K51)*F51)</f>
      </c>
      <c r="T51">
        <f>=IF($A51="","",S51*M51+N51)</f>
      </c>
      <c r="U51">
        <f>=IF($A51="","",Q51*'Hypothèses'!$B$5)</f>
      </c>
    </row>
    <row r="52">
      <c r="O52">
        <f>=IF($A52="","",G52-H52)</f>
      </c>
      <c r="P52">
        <f>=IF($A52="","",O52*'Hypothèses'!$B$2)</f>
      </c>
      <c r="Q52">
        <f>=IF($A52="","",I52-J52)</f>
      </c>
      <c r="R52">
        <f>=IF($A52="","",Q52*'Hypothèses'!$B$3)</f>
      </c>
      <c r="S52">
        <f>=IF($A52="","",(L52-K52)*F52)</f>
      </c>
      <c r="T52">
        <f>=IF($A52="","",S52*M52+N52)</f>
      </c>
      <c r="U52">
        <f>=IF($A52="","",Q52*'Hypothèses'!$B$5)</f>
      </c>
    </row>
    <row r="53">
      <c r="O53">
        <f>=IF($A53="","",G53-H53)</f>
      </c>
      <c r="P53">
        <f>=IF($A53="","",O53*'Hypothèses'!$B$2)</f>
      </c>
      <c r="Q53">
        <f>=IF($A53="","",I53-J53)</f>
      </c>
      <c r="R53">
        <f>=IF($A53="","",Q53*'Hypothèses'!$B$3)</f>
      </c>
      <c r="S53">
        <f>=IF($A53="","",(L53-K53)*F53)</f>
      </c>
      <c r="T53">
        <f>=IF($A53="","",S53*M53+N53)</f>
      </c>
      <c r="U53">
        <f>=IF($A53="","",Q53*'Hypothèses'!$B$5)</f>
      </c>
    </row>
    <row r="54">
      <c r="O54">
        <f>=IF($A54="","",G54-H54)</f>
      </c>
      <c r="P54">
        <f>=IF($A54="","",O54*'Hypothèses'!$B$2)</f>
      </c>
      <c r="Q54">
        <f>=IF($A54="","",I54-J54)</f>
      </c>
      <c r="R54">
        <f>=IF($A54="","",Q54*'Hypothèses'!$B$3)</f>
      </c>
      <c r="S54">
        <f>=IF($A54="","",(L54-K54)*F54)</f>
      </c>
      <c r="T54">
        <f>=IF($A54="","",S54*M54+N54)</f>
      </c>
      <c r="U54">
        <f>=IF($A54="","",Q54*'Hypothèses'!$B$5)</f>
      </c>
    </row>
    <row r="55">
      <c r="O55">
        <f>=IF($A55="","",G55-H55)</f>
      </c>
      <c r="P55">
        <f>=IF($A55="","",O55*'Hypothèses'!$B$2)</f>
      </c>
      <c r="Q55">
        <f>=IF($A55="","",I55-J55)</f>
      </c>
      <c r="R55">
        <f>=IF($A55="","",Q55*'Hypothèses'!$B$3)</f>
      </c>
      <c r="S55">
        <f>=IF($A55="","",(L55-K55)*F55)</f>
      </c>
      <c r="T55">
        <f>=IF($A55="","",S55*M55+N55)</f>
      </c>
      <c r="U55">
        <f>=IF($A55="","",Q55*'Hypothèses'!$B$5)</f>
      </c>
    </row>
    <row r="56">
      <c r="O56">
        <f>=IF($A56="","",G56-H56)</f>
      </c>
      <c r="P56">
        <f>=IF($A56="","",O56*'Hypothèses'!$B$2)</f>
      </c>
      <c r="Q56">
        <f>=IF($A56="","",I56-J56)</f>
      </c>
      <c r="R56">
        <f>=IF($A56="","",Q56*'Hypothèses'!$B$3)</f>
      </c>
      <c r="S56">
        <f>=IF($A56="","",(L56-K56)*F56)</f>
      </c>
      <c r="T56">
        <f>=IF($A56="","",S56*M56+N56)</f>
      </c>
      <c r="U56">
        <f>=IF($A56="","",Q56*'Hypothèses'!$B$5)</f>
      </c>
    </row>
    <row r="57">
      <c r="O57">
        <f>=IF($A57="","",G57-H57)</f>
      </c>
      <c r="P57">
        <f>=IF($A57="","",O57*'Hypothèses'!$B$2)</f>
      </c>
      <c r="Q57">
        <f>=IF($A57="","",I57-J57)</f>
      </c>
      <c r="R57">
        <f>=IF($A57="","",Q57*'Hypothèses'!$B$3)</f>
      </c>
      <c r="S57">
        <f>=IF($A57="","",(L57-K57)*F57)</f>
      </c>
      <c r="T57">
        <f>=IF($A57="","",S57*M57+N57)</f>
      </c>
      <c r="U57">
        <f>=IF($A57="","",Q57*'Hypothèses'!$B$5)</f>
      </c>
    </row>
    <row r="58">
      <c r="O58">
        <f>=IF($A58="","",G58-H58)</f>
      </c>
      <c r="P58">
        <f>=IF($A58="","",O58*'Hypothèses'!$B$2)</f>
      </c>
      <c r="Q58">
        <f>=IF($A58="","",I58-J58)</f>
      </c>
      <c r="R58">
        <f>=IF($A58="","",Q58*'Hypothèses'!$B$3)</f>
      </c>
      <c r="S58">
        <f>=IF($A58="","",(L58-K58)*F58)</f>
      </c>
      <c r="T58">
        <f>=IF($A58="","",S58*M58+N58)</f>
      </c>
      <c r="U58">
        <f>=IF($A58="","",Q58*'Hypothèses'!$B$5)</f>
      </c>
    </row>
    <row r="59">
      <c r="O59">
        <f>=IF($A59="","",G59-H59)</f>
      </c>
      <c r="P59">
        <f>=IF($A59="","",O59*'Hypothèses'!$B$2)</f>
      </c>
      <c r="Q59">
        <f>=IF($A59="","",I59-J59)</f>
      </c>
      <c r="R59">
        <f>=IF($A59="","",Q59*'Hypothèses'!$B$3)</f>
      </c>
      <c r="S59">
        <f>=IF($A59="","",(L59-K59)*F59)</f>
      </c>
      <c r="T59">
        <f>=IF($A59="","",S59*M59+N59)</f>
      </c>
      <c r="U59">
        <f>=IF($A59="","",Q59*'Hypothèses'!$B$5)</f>
      </c>
    </row>
    <row r="60">
      <c r="O60">
        <f>=IF($A60="","",G60-H60)</f>
      </c>
      <c r="P60">
        <f>=IF($A60="","",O60*'Hypothèses'!$B$2)</f>
      </c>
      <c r="Q60">
        <f>=IF($A60="","",I60-J60)</f>
      </c>
      <c r="R60">
        <f>=IF($A60="","",Q60*'Hypothèses'!$B$3)</f>
      </c>
      <c r="S60">
        <f>=IF($A60="","",(L60-K60)*F60)</f>
      </c>
      <c r="T60">
        <f>=IF($A60="","",S60*M60+N60)</f>
      </c>
      <c r="U60">
        <f>=IF($A60="","",Q60*'Hypothèses'!$B$5)</f>
      </c>
    </row>
  </sheetData>
</worksheet>
</file>

<file path=xl/worksheets/sheet3.xml><?xml version="1.0" encoding="utf-8"?>
<worksheet xmlns="http://schemas.openxmlformats.org/spreadsheetml/2006/main">
  <dimension ref="A1:C12"/>
  <cols>
    <col min="1" max="1" width="38"/>
    <col min="2" max="2" width="16"/>
    <col min="3" max="3" width="12"/>
  </cols>
  <sheetData>
    <row r="1">
      <c r="A1" s="1" t="inlineStr">
        <is>
          <t xml:space="preserve">Indicateur</t>
        </is>
      </c>
      <c r="B1" s="1" t="inlineStr">
        <is>
          <t xml:space="preserve">Valeur</t>
        </is>
      </c>
      <c r="C1" s="1" t="inlineStr">
        <is>
          <t xml:space="preserve">Unité</t>
        </is>
      </c>
    </row>
    <row r="2">
      <c r="A2" t="inlineStr">
        <is>
          <t xml:space="preserve">Parcelles suivies</t>
        </is>
      </c>
      <c r="B2">
        <f>=COUNTA('Données'!A2:A1000)</f>
      </c>
      <c r="C2" t="inlineStr">
        <is>
          <t xml:space="preserve">parcelles</t>
        </is>
      </c>
    </row>
    <row r="3">
      <c r="A3" t="inlineStr">
        <is>
          <t xml:space="preserve">Surface totale</t>
        </is>
      </c>
      <c r="B3">
        <f>=SUM('Données'!F2:F1000)</f>
      </c>
      <c r="C3" t="inlineStr">
        <is>
          <t xml:space="preserve">ha</t>
        </is>
      </c>
    </row>
    <row r="4">
      <c r="A4" t="inlineStr">
        <is>
          <t xml:space="preserve">Eau économisée</t>
        </is>
      </c>
      <c r="B4">
        <f>=SUM('Données'!O2:O1000)</f>
      </c>
      <c r="C4" t="inlineStr">
        <is>
          <t xml:space="preserve">m³</t>
        </is>
      </c>
    </row>
    <row r="5">
      <c r="A5" t="inlineStr">
        <is>
          <t xml:space="preserve">Valeur de l'eau économisée</t>
        </is>
      </c>
      <c r="B5">
        <f>=SUM('Données'!P2:P1000)</f>
      </c>
      <c r="C5" t="inlineStr">
        <is>
          <t xml:space="preserve">€</t>
        </is>
      </c>
    </row>
    <row r="6">
      <c r="A6" t="inlineStr">
        <is>
          <t xml:space="preserve">Engrais économisé</t>
        </is>
      </c>
      <c r="B6">
        <f>=SUM('Données'!Q2:Q1000)</f>
      </c>
      <c r="C6" t="inlineStr">
        <is>
          <t xml:space="preserve">kg</t>
        </is>
      </c>
    </row>
    <row r="7">
      <c r="A7" t="inlineStr">
        <is>
          <t xml:space="preserve">Valeur de l'engrais économisé</t>
        </is>
      </c>
      <c r="B7">
        <f>=SUM('Données'!R2:R1000)</f>
      </c>
      <c r="C7" t="inlineStr">
        <is>
          <t xml:space="preserve">€</t>
        </is>
      </c>
    </row>
    <row r="8">
      <c r="A8" t="inlineStr">
        <is>
          <t xml:space="preserve">Gain de rendement</t>
        </is>
      </c>
      <c r="B8">
        <f>=SUM('Données'!S2:S1000)</f>
      </c>
      <c r="C8" t="inlineStr">
        <is>
          <t xml:space="preserve">t</t>
        </is>
      </c>
    </row>
    <row r="9">
      <c r="A9" t="inlineStr">
        <is>
          <t xml:space="preserve">Valeur additionnelle créée</t>
        </is>
      </c>
      <c r="B9">
        <f>=SUM('Données'!T2:T1000)</f>
      </c>
      <c r="C9" t="inlineStr">
        <is>
          <t xml:space="preserve">€</t>
        </is>
      </c>
    </row>
    <row r="10">
      <c r="A10" t="inlineStr">
        <is>
          <t xml:space="preserve">Contribution estimée au PIB</t>
        </is>
      </c>
      <c r="B10">
        <f>=B9*'Hypothèses'!$B$4</f>
      </c>
      <c r="C10" t="inlineStr">
        <is>
          <t xml:space="preserve">€</t>
        </is>
      </c>
    </row>
    <row r="11">
      <c r="A11" t="inlineStr">
        <is>
          <t xml:space="preserve">Économies d'intrants (eau + engrais)</t>
        </is>
      </c>
      <c r="B11">
        <f>=B5+B7</f>
      </c>
      <c r="C11" t="inlineStr">
        <is>
          <t xml:space="preserve">€</t>
        </is>
      </c>
    </row>
    <row r="12">
      <c r="A12" t="inlineStr">
        <is>
          <t xml:space="preserve">CO₂ évité (engrais)</t>
        </is>
      </c>
      <c r="B12">
        <f>=SUM('Données'!U2:U1000)</f>
      </c>
      <c r="C12" t="inlineStr">
        <is>
          <t xml:space="preserve">kgCO₂e</t>
        </is>
      </c>
    </row>
  </sheetData>
</worksheet>
</file>

<file path=xl/worksheets/sheet4.xml><?xml version="1.0" encoding="utf-8"?>
<worksheet xmlns="http://schemas.openxmlformats.org/spreadsheetml/2006/main">
  <dimension ref="A1:A32"/>
  <cols>
    <col min="1" max="1" width="115"/>
  </cols>
  <sheetData>
    <row r="1">
      <c r="A1" s="1" t="inlineStr">
        <is>
          <t xml:space="preserve">AgriVision — Modèle d'impact économique &amp; environnemental</t>
        </is>
      </c>
    </row>
    <row r="2">
      <c r="A2" t="inlineStr">
        <is>
          <t xml:space="preserve"/>
        </is>
      </c>
    </row>
    <row r="3">
      <c r="A3" t="inlineStr">
        <is>
          <t xml:space="preserve">OBJET</t>
        </is>
      </c>
    </row>
    <row r="4">
      <c r="A4" t="inlineStr">
        <is>
          <t xml:space="preserve">Collecter des observations de terrain et en dériver des indicateurs d'impact :</t>
        </is>
      </c>
    </row>
    <row r="5">
      <c r="A5" t="inlineStr">
        <is>
          <t xml:space="preserve">valeur additionnelle créée (proxy de contribution au PIB), eau économisée, engrais économisé, CO₂ évité.</t>
        </is>
      </c>
    </row>
    <row r="6">
      <c r="A6" t="inlineStr">
        <is>
          <t xml:space="preserve"/>
        </is>
      </c>
    </row>
    <row r="7">
      <c r="A7" t="inlineStr">
        <is>
          <t xml:space="preserve">COMMENT L'UTILISER</t>
        </is>
      </c>
    </row>
    <row r="8">
      <c r="A8" t="inlineStr">
        <is>
          <t xml:space="preserve">1) Onglet « Hypothèses » : ajuster les prix unitaires et facteurs (cellules en colonne B).</t>
        </is>
      </c>
    </row>
    <row r="9">
      <c r="A9" t="inlineStr">
        <is>
          <t xml:space="preserve">2) Onglet « Données » : une ligne par parcelle/intervention. Remplir les colonnes A→N.</t>
        </is>
      </c>
    </row>
    <row r="10">
      <c r="A10" t="inlineStr">
        <is>
          <t xml:space="preserve">   Les colonnes O→U se calculent automatiquement (formules déjà copiées jusqu'à la ligne 60 ;</t>
        </is>
      </c>
    </row>
    <row r="11">
      <c r="A11" t="inlineStr">
        <is>
          <t xml:space="preserve">   copier les formules vers le bas si besoin de plus de lignes).</t>
        </is>
      </c>
    </row>
    <row r="12">
      <c r="A12" t="inlineStr">
        <is>
          <t xml:space="preserve">3) Onglet « Indicateurs » : totaux mis à jour automatiquement.</t>
        </is>
      </c>
    </row>
    <row r="13">
      <c r="A13" t="inlineStr">
        <is>
          <t xml:space="preserve"/>
        </is>
      </c>
    </row>
    <row r="14">
      <c r="A14" t="inlineStr">
        <is>
          <t xml:space="preserve">DÉFINITION DES COLONNES (onglet Données)</t>
        </is>
      </c>
    </row>
    <row r="15">
      <c r="A15" t="inlineStr">
        <is>
          <t xml:space="preserve">Eau / Engrais « habituel » = pratique de référence du producteur (sans AgriVision).</t>
        </is>
      </c>
    </row>
    <row r="16">
      <c r="A16" t="inlineStr">
        <is>
          <t xml:space="preserve">Eau / Engrais « avec AgriVision » = consommation effective après recommandation.</t>
        </is>
      </c>
    </row>
    <row r="17">
      <c r="A17" t="inlineStr">
        <is>
          <t xml:space="preserve">Eau économisée (m³) = habituel − avec AgriVision.  Valeur (€) = m³ × prix de l'eau.</t>
        </is>
      </c>
    </row>
    <row r="18">
      <c r="A18" t="inlineStr">
        <is>
          <t xml:space="preserve">Engrais économisé (kg) = habituel − avec AgriVision.  Valeur (€) = kg × prix engrais.</t>
        </is>
      </c>
    </row>
    <row r="19">
      <c r="A19" t="inlineStr">
        <is>
          <t xml:space="preserve">Gain de rendement (t) = (rendement avec − rendement habituel) × surface.</t>
        </is>
      </c>
    </row>
    <row r="20">
      <c r="A20" t="inlineStr">
        <is>
          <t xml:space="preserve">Valeur additionnelle (€) = gain de rendement × prix de vente + coût de traitement évité.</t>
        </is>
      </c>
    </row>
    <row r="21">
      <c r="A21" t="inlineStr">
        <is>
          <t xml:space="preserve">Coût traitement évité (€) = intrants/main-d'œuvre d'un traitement jugé inutile par le diagnostic.</t>
        </is>
      </c>
    </row>
    <row r="22">
      <c r="A22" t="inlineStr">
        <is>
          <t xml:space="preserve"/>
        </is>
      </c>
    </row>
    <row r="23">
      <c r="A23" t="inlineStr">
        <is>
          <t xml:space="preserve">HYPOTHÈSE PIB</t>
        </is>
      </c>
    </row>
    <row r="24">
      <c r="A24" t="inlineStr">
        <is>
          <t xml:space="preserve">Contribution estimée au PIB = valeur additionnelle totale × multiplicateur (Hypothèses!B4).</t>
        </is>
      </c>
    </row>
    <row r="25">
      <c r="A25" t="inlineStr">
        <is>
          <t xml:space="preserve">Par défaut le multiplicateur vaut 1 : on assimile la contribution à la valeur ajoutée brute créée.</t>
        </is>
      </c>
    </row>
    <row r="26">
      <c r="A26" t="inlineStr">
        <is>
          <t xml:space="preserve"/>
        </is>
      </c>
    </row>
    <row r="27">
      <c r="A27" t="inlineStr">
        <is>
          <t xml:space="preserve">LIMITES &amp; PRÉCAUTIONS</t>
        </is>
      </c>
    </row>
    <row r="28">
      <c r="A28" t="inlineStr">
        <is>
          <t xml:space="preserve">• Données déclaratives : à valider/recouper (échantillon, témoins, mesures réelles si possible).</t>
        </is>
      </c>
    </row>
    <row r="29">
      <c r="A29" t="inlineStr">
        <is>
          <t xml:space="preserve">• Ne pas double-compter une même parcelle sur plusieurs lignes pour la même saison.</t>
        </is>
      </c>
    </row>
    <row r="30">
      <c r="A30" t="inlineStr">
        <is>
          <t xml:space="preserve">• L'impact « PIB » est une estimation de valeur ajoutée, pas un calcul macro-économique officiel.</t>
        </is>
      </c>
    </row>
    <row r="31">
      <c r="A31" t="inlineStr">
        <is>
          <t xml:space="preserve">• RGPD : la colonne « Utilisateur » doit être anonymisée (identifiant, pas de nom/e-mail).</t>
        </is>
      </c>
    </row>
    <row r="32">
      <c r="A32" t="inlineStr">
        <is>
          <t xml:space="preserve">• Les lignes EX-00x sont des EXEMPLES — les supprimer avant de saisir des données réelles.</t>
        </is>
      </c>
    </row>
  </sheetData>
</worksheet>
</file>